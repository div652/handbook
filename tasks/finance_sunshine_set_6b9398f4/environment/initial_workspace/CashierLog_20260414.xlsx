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4-14-2026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\$#,##0.00"/>
    <numFmt numFmtId="166" formatCode="yyyy-mm-dd h:mm:ss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843C0C"/>
      <sz val="10"/>
    </font>
    <font>
      <name val="Arial"/>
      <charset val="1"/>
      <family val="0"/>
      <color rgb="FF1F4E79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833C00"/>
        <bgColor rgb="FF843C0C"/>
      </patternFill>
    </fill>
    <fill>
      <patternFill patternType="solid">
        <fgColor rgb="FFFCE4D6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43C0C"/>
      <rgbColor rgb="FFFCE4D6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12" customWidth="1" style="16" min="2" max="2"/>
    <col width="10" customWidth="1" style="16" min="3" max="3"/>
    <col width="16" customWidth="1" style="16" min="4" max="4"/>
    <col width="45" customWidth="1" style="16" min="5" max="5"/>
    <col width="13" customWidth="1" style="16" min="6" max="7"/>
    <col width="12" customWidth="1" style="16" min="8" max="8"/>
    <col width="38" customWidth="1" style="16" min="9" max="9"/>
  </cols>
  <sheetData>
    <row r="1" ht="21.75" customHeight="1" s="17">
      <c r="A1" s="18" t="inlineStr">
        <is>
          <t>SUNSHINE &amp; SET AUTOMOTIVE  —  DAILY CASHIER LOG  —  April 14, 2026</t>
        </is>
      </c>
    </row>
    <row r="2" ht="21.75" customHeight="1" s="17">
      <c r="A2" s="19" t="inlineStr">
        <is>
          <t>Entry #</t>
        </is>
      </c>
      <c r="B2" s="19" t="inlineStr">
        <is>
          <t>Date</t>
        </is>
      </c>
      <c r="C2" s="19" t="inlineStr">
        <is>
          <t>Time</t>
        </is>
      </c>
      <c r="D2" s="19" t="inlineStr">
        <is>
          <t>Deal / Reference</t>
        </is>
      </c>
      <c r="E2" s="19" t="inlineStr">
        <is>
          <t>Customer / Description</t>
        </is>
      </c>
      <c r="F2" s="19" t="inlineStr">
        <is>
          <t>Payment Type</t>
        </is>
      </c>
      <c r="G2" s="19" t="inlineStr">
        <is>
          <t>Amount</t>
        </is>
      </c>
      <c r="H2" s="19" t="inlineStr">
        <is>
          <t>Receipt #</t>
        </is>
      </c>
      <c r="I2" s="19" t="inlineStr">
        <is>
          <t>Notes</t>
        </is>
      </c>
    </row>
    <row r="3" ht="15" customHeight="1" s="17">
      <c r="A3" s="20" t="inlineStr">
        <is>
          <t>001</t>
        </is>
      </c>
      <c r="B3" s="21" t="n">
        <v>46126</v>
      </c>
      <c r="C3" s="20" t="inlineStr">
        <is>
          <t>8:47 AM</t>
        </is>
      </c>
      <c r="D3" s="20" t="inlineStr">
        <is>
          <t>SVC-4140</t>
        </is>
      </c>
      <c r="E3" s="22" t="inlineStr">
        <is>
          <t>Morales, Javier — Service RO #14209</t>
        </is>
      </c>
      <c r="F3" s="23" t="inlineStr">
        <is>
          <t>Credit Card</t>
        </is>
      </c>
      <c r="G3" s="24" t="n">
        <v>487.5</v>
      </c>
      <c r="H3" s="20" t="inlineStr">
        <is>
          <t>RCP-8821</t>
        </is>
      </c>
      <c r="I3" s="22" t="inlineStr">
        <is>
          <t>Visa ending 4491</t>
        </is>
      </c>
    </row>
    <row r="4" ht="15" customHeight="1" s="17">
      <c r="A4" s="20" t="inlineStr">
        <is>
          <t>002</t>
        </is>
      </c>
      <c r="B4" s="21" t="n">
        <v>46126</v>
      </c>
      <c r="C4" s="20" t="inlineStr">
        <is>
          <t>9:15 AM</t>
        </is>
      </c>
      <c r="D4" s="20" t="inlineStr">
        <is>
          <t>SVC-4141</t>
        </is>
      </c>
      <c r="E4" s="22" t="inlineStr">
        <is>
          <t>Dunn, Patricia — Service RO #14211</t>
        </is>
      </c>
      <c r="F4" s="25" t="inlineStr">
        <is>
          <t>Check</t>
        </is>
      </c>
      <c r="G4" s="24" t="n">
        <v>312</v>
      </c>
      <c r="H4" s="20" t="inlineStr">
        <is>
          <t>RCP-8822</t>
        </is>
      </c>
      <c r="I4" s="22" t="inlineStr">
        <is>
          <t>Ck #3314 — State Farm Bank</t>
        </is>
      </c>
    </row>
    <row r="5" ht="15" customHeight="1" s="17">
      <c r="A5" s="20" t="inlineStr">
        <is>
          <t>003</t>
        </is>
      </c>
      <c r="B5" s="21" t="n">
        <v>46126</v>
      </c>
      <c r="C5" s="20" t="inlineStr">
        <is>
          <t>9:52 AM</t>
        </is>
      </c>
      <c r="D5" s="20" t="inlineStr">
        <is>
          <t>PARTS-0414A</t>
        </is>
      </c>
      <c r="E5" s="22" t="inlineStr">
        <is>
          <t>Parts Counter — Walk-in sale</t>
        </is>
      </c>
      <c r="F5" s="26" t="inlineStr">
        <is>
          <t>Cash</t>
        </is>
      </c>
      <c r="G5" s="24" t="n">
        <v>145</v>
      </c>
      <c r="H5" s="20" t="inlineStr">
        <is>
          <t>RCP-8823</t>
        </is>
      </c>
      <c r="I5" s="22" t="inlineStr">
        <is>
          <t>Oil filter, wiper blades</t>
        </is>
      </c>
    </row>
    <row r="6" ht="15" customHeight="1" s="17">
      <c r="A6" s="20" t="inlineStr">
        <is>
          <t>004</t>
        </is>
      </c>
      <c r="B6" s="21" t="n">
        <v>46126</v>
      </c>
      <c r="C6" s="20" t="inlineStr">
        <is>
          <t>11:23 AM</t>
        </is>
      </c>
      <c r="D6" s="20" t="inlineStr">
        <is>
          <t>4821</t>
        </is>
      </c>
      <c r="E6" s="22" t="inlineStr">
        <is>
          <t>Mitchell, Sarah — Down Payment Deal #4821</t>
        </is>
      </c>
      <c r="F6" s="25" t="inlineStr">
        <is>
          <t>Check</t>
        </is>
      </c>
      <c r="G6" s="24" t="n">
        <v>8625</v>
      </c>
      <c r="H6" s="20" t="inlineStr">
        <is>
          <t>RCP-8824</t>
        </is>
      </c>
      <c r="I6" s="22" t="inlineStr">
        <is>
          <t>Ck #4492 — SunTrust; 2025 Accord EX-L, Stock N-2547</t>
        </is>
      </c>
    </row>
    <row r="7" ht="15" customHeight="1" s="17">
      <c r="A7" s="20" t="inlineStr">
        <is>
          <t>005</t>
        </is>
      </c>
      <c r="B7" s="21" t="n">
        <v>46126</v>
      </c>
      <c r="C7" s="20" t="inlineStr">
        <is>
          <t>11:26 AM</t>
        </is>
      </c>
      <c r="D7" s="20" t="inlineStr">
        <is>
          <t>4821</t>
        </is>
      </c>
      <c r="E7" s="22" t="inlineStr">
        <is>
          <t>Mitchell, Sarah — Tag, Title &amp; Registration Deal #4821</t>
        </is>
      </c>
      <c r="F7" s="25" t="inlineStr">
        <is>
          <t>Check</t>
        </is>
      </c>
      <c r="G7" s="24" t="n">
        <v>304.75</v>
      </c>
      <c r="H7" s="20" t="inlineStr">
        <is>
          <t>RCP-8825</t>
        </is>
      </c>
      <c r="I7" s="22" t="inlineStr">
        <is>
          <t>Ck #4493 — SunTrust; collected at signing — not financed</t>
        </is>
      </c>
    </row>
    <row r="8" ht="15" customHeight="1" s="17">
      <c r="A8" s="20" t="inlineStr">
        <is>
          <t>006</t>
        </is>
      </c>
      <c r="B8" s="21" t="n">
        <v>46126</v>
      </c>
      <c r="C8" s="20" t="inlineStr">
        <is>
          <t>1:48 PM</t>
        </is>
      </c>
      <c r="D8" s="20" t="inlineStr">
        <is>
          <t>SVC-4142</t>
        </is>
      </c>
      <c r="E8" s="22" t="inlineStr">
        <is>
          <t>Bennett, Lawrence — Service RO #14215</t>
        </is>
      </c>
      <c r="F8" s="23" t="inlineStr">
        <is>
          <t>Credit Card</t>
        </is>
      </c>
      <c r="G8" s="24" t="n">
        <v>891.75</v>
      </c>
      <c r="H8" s="20" t="inlineStr">
        <is>
          <t>RCP-8826</t>
        </is>
      </c>
      <c r="I8" s="22" t="inlineStr">
        <is>
          <t>MC ending 7702</t>
        </is>
      </c>
    </row>
    <row r="9" ht="15" customHeight="1" s="17">
      <c r="A9" s="20" t="inlineStr">
        <is>
          <t>007</t>
        </is>
      </c>
      <c r="B9" s="21" t="n">
        <v>46126</v>
      </c>
      <c r="C9" s="20" t="inlineStr">
        <is>
          <t>2:31 PM</t>
        </is>
      </c>
      <c r="D9" s="20" t="inlineStr">
        <is>
          <t>PARTS-0414B</t>
        </is>
      </c>
      <c r="E9" s="22" t="inlineStr">
        <is>
          <t>Parts Counter — Walk-in sale</t>
        </is>
      </c>
      <c r="F9" s="26" t="inlineStr">
        <is>
          <t>Cash</t>
        </is>
      </c>
      <c r="G9" s="24" t="n">
        <v>67.5</v>
      </c>
      <c r="H9" s="20" t="inlineStr">
        <is>
          <t>RCP-8827</t>
        </is>
      </c>
      <c r="I9" s="22" t="inlineStr">
        <is>
          <t>Air filter</t>
        </is>
      </c>
    </row>
    <row r="10" ht="15" customHeight="1" s="17">
      <c r="A10" s="27" t="n"/>
      <c r="G10" s="27" t="n"/>
      <c r="H10" s="27" t="n"/>
      <c r="I10" s="27" t="n"/>
    </row>
    <row r="11" ht="18" customHeight="1" s="17">
      <c r="A11" s="28" t="inlineStr">
        <is>
          <t>DAILY DEPOSIT SUMMARY</t>
        </is>
      </c>
      <c r="B11" s="29" t="n"/>
      <c r="C11" s="29" t="n"/>
      <c r="D11" s="29" t="n"/>
      <c r="E11" s="29" t="n"/>
      <c r="F11" s="29" t="n"/>
    </row>
    <row r="12" ht="15" customHeight="1" s="17">
      <c r="E12" s="30" t="inlineStr">
        <is>
          <t>Cash</t>
        </is>
      </c>
      <c r="F12" s="24">
        <f>SUMIF(F3:F9,"Cash",G3:G9)</f>
        <v>212.5</v>
        <v/>
      </c>
    </row>
    <row r="13" ht="15" customHeight="1" s="17">
      <c r="E13" s="30" t="inlineStr">
        <is>
          <t>Check</t>
        </is>
      </c>
      <c r="F13" s="24">
        <f>SUMIF(F3:F9,"Check",G3:G9)</f>
        <v>9241.75</v>
        <v/>
      </c>
    </row>
    <row r="14" ht="15" customHeight="1" s="17">
      <c r="E14" s="30" t="inlineStr">
        <is>
          <t>Credit Card</t>
        </is>
      </c>
      <c r="F14" s="24">
        <f>SUMIF(F3:F9,"Credit Card",G3:G9)</f>
        <v>1379.25</v>
        <v/>
      </c>
    </row>
    <row r="15" ht="15" customHeight="1" s="17">
      <c r="E15" s="31" t="inlineStr">
        <is>
          <t>TOTAL DEPOSIT</t>
        </is>
      </c>
      <c r="F15" s="32">
        <f>SUM(G3:G9)</f>
        <v>10833.5</v>
        <v/>
      </c>
    </row>
    <row r="16" s="17"/>
    <row r="17" ht="15" customHeight="1" s="17">
      <c r="A17" s="33" t="inlineStr">
        <is>
          <t>Cashier: Renee Lawson  |  Deposit prepared: April 14, 2026  |  Dual-verified with: Talia Nguyen  |  Bank: SunTrust — Operating Account</t>
        </is>
      </c>
    </row>
  </sheetData>
  <mergeCells count="3">
    <mergeCell ref="A1:I1"/>
    <mergeCell ref="A17:I17"/>
    <mergeCell ref="A11:F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2026-04-15T17:07:18Z</dcterms:created>
  <dcterms:modified xsi:type="dcterms:W3CDTF">2026-08-28T00:30:04Z</dcterms:modified>
  <cp:revision>0</cp:revision>
</cp:coreProperties>
</file>